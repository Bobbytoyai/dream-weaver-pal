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  <sheet name="Cost Summary" sheetId="2" state="visible" r:id="rId4"/>
    <sheet name="Supplier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<sst xmlns="http://schemas.openxmlformats.org/spreadsheetml/2006/main" count="404" uniqueCount="310">
  <si>
    <t xml:space="preserve">BOBBY v2.0 — BILL OF MATERIALS (BOM)</t>
  </si>
  <si>
    <t xml:space="preserve">Hardware Architecture &amp; Components Specification  |  Target Cost: 15€–30€ production (10k units)</t>
  </si>
  <si>
    <t xml:space="preserve">Ref</t>
  </si>
  <si>
    <t xml:space="preserve">Category</t>
  </si>
  <si>
    <t xml:space="preserve">Component / Description</t>
  </si>
  <si>
    <t xml:space="preserve">Manufacturer</t>
  </si>
  <si>
    <t xml:space="preserve">Mfr Part #</t>
  </si>
  <si>
    <t xml:space="preserve">LCSC #</t>
  </si>
  <si>
    <t xml:space="preserve">Alt. Source</t>
  </si>
  <si>
    <t xml:space="preserve">Package</t>
  </si>
  <si>
    <t xml:space="preserve">Qty</t>
  </si>
  <si>
    <t xml:space="preserve">Unit Cost
@1k (€)</t>
  </si>
  <si>
    <t xml:space="preserve">Unit Cost
@10k (€)</t>
  </si>
  <si>
    <t xml:space="preserve">Ext. Cost
@1k (€)</t>
  </si>
  <si>
    <t xml:space="preserve">Ext. Cost
@10k (€)</t>
  </si>
  <si>
    <t xml:space="preserve">Notes</t>
  </si>
  <si>
    <t xml:space="preserve">U1</t>
  </si>
  <si>
    <t xml:space="preserve">SOC</t>
  </si>
  <si>
    <t xml:space="preserve">ESP32-S3-WROOM-2 Module
16MB Flash / 8MB PSRAM</t>
  </si>
  <si>
    <t xml:space="preserve">Espressif</t>
  </si>
  <si>
    <t xml:space="preserve">ESP32-S3-WROOM-2-N16R8</t>
  </si>
  <si>
    <t xml:space="preserve">C2913202</t>
  </si>
  <si>
    <t xml:space="preserve">Mouser 356-ESP32S3WROOM2N16</t>
  </si>
  <si>
    <t xml:space="preserve">SMD Module</t>
  </si>
  <si>
    <t xml:space="preserve">Main MCU+WiFi+BLE. Xtensa LX7 240MHz dual core.</t>
  </si>
  <si>
    <t xml:space="preserve">U2</t>
  </si>
  <si>
    <t xml:space="preserve">AUDIO</t>
  </si>
  <si>
    <t xml:space="preserve">INMP441 I2S MEMS Microphone LEFT</t>
  </si>
  <si>
    <t xml:space="preserve">TDK InvenSense</t>
  </si>
  <si>
    <t xml:space="preserve">INMP441ACEZ-T</t>
  </si>
  <si>
    <t xml:space="preserve">C3368792</t>
  </si>
  <si>
    <t xml:space="preserve">Digi-Key 828-INMP441ACEZ-T</t>
  </si>
  <si>
    <t xml:space="preserve">SMD 3.76×4.72mm</t>
  </si>
  <si>
    <t xml:space="preserve">Left channel. L/R pin → GND.</t>
  </si>
  <si>
    <t xml:space="preserve">U3</t>
  </si>
  <si>
    <t xml:space="preserve">INMP441 I2S MEMS Microphone RIGHT</t>
  </si>
  <si>
    <t xml:space="preserve">Right channel. L/R pin → VDD.</t>
  </si>
  <si>
    <t xml:space="preserve">U6</t>
  </si>
  <si>
    <t xml:space="preserve">MAX98357A I2S Class-D Amplifier 3W</t>
  </si>
  <si>
    <t xml:space="preserve">Maxim/ADI</t>
  </si>
  <si>
    <t xml:space="preserve">MAX98357AEWL+T</t>
  </si>
  <si>
    <t xml:space="preserve">C2655602</t>
  </si>
  <si>
    <t xml:space="preserve">Mouser 700-MAX98357AEWL</t>
  </si>
  <si>
    <t xml:space="preserve">TQFN-16 3×3mm</t>
  </si>
  <si>
    <t xml:space="preserve">9dB gain (SD=GND). LC filter required.</t>
  </si>
  <si>
    <t xml:space="preserve">SP1</t>
  </si>
  <si>
    <t xml:space="preserve">Speaker 3W 4Ω 28mm</t>
  </si>
  <si>
    <t xml:space="preserve">KEPO</t>
  </si>
  <si>
    <t xml:space="preserve">SP0826F-1 or equiv.</t>
  </si>
  <si>
    <t xml:space="preserve">—</t>
  </si>
  <si>
    <t xml:space="preserve">AliExpress / Mouser</t>
  </si>
  <si>
    <t xml:space="preserve">Ø28mm or 36mm</t>
  </si>
  <si>
    <t xml:space="preserve">87 dB SPL @ 1W/1m. f0≈650Hz.</t>
  </si>
  <si>
    <t xml:space="preserve">L1</t>
  </si>
  <si>
    <t xml:space="preserve">Inductor 2.2µH SMD (Class-D filter)</t>
  </si>
  <si>
    <t xml:space="preserve">Murata</t>
  </si>
  <si>
    <t xml:space="preserve">LQM21FN2R2NGC</t>
  </si>
  <si>
    <t xml:space="preserve">C493614</t>
  </si>
  <si>
    <t xml:space="preserve">LCSC</t>
  </si>
  <si>
    <t xml:space="preserve">0805</t>
  </si>
  <si>
    <t xml:space="preserve">Isat≥1A. LC low-pass filter MAX98357A output.</t>
  </si>
  <si>
    <t xml:space="preserve">C_LC</t>
  </si>
  <si>
    <t xml:space="preserve">Capacitor 220nF X5R SMD (LC filter)</t>
  </si>
  <si>
    <t xml:space="preserve">Yageo</t>
  </si>
  <si>
    <t xml:space="preserve">CC0805KRX5R9BB224</t>
  </si>
  <si>
    <t xml:space="preserve">C49678</t>
  </si>
  <si>
    <t xml:space="preserve">Class-D output EMI filter.</t>
  </si>
  <si>
    <t xml:space="preserve">U7</t>
  </si>
  <si>
    <t xml:space="preserve">CAMERA</t>
  </si>
  <si>
    <t xml:space="preserve">OV2640 Camera Module 2MP</t>
  </si>
  <si>
    <t xml:space="preserve">OmniVision</t>
  </si>
  <si>
    <t xml:space="preserve">OV2640-PLCC28</t>
  </si>
  <si>
    <t xml:space="preserve">C16332</t>
  </si>
  <si>
    <t xml:space="preserve">Mouser / AliExpress</t>
  </si>
  <si>
    <t xml:space="preserve">PLCC-28 + FPC</t>
  </si>
  <si>
    <t xml:space="preserve">QVGA 30fps, DVP 8-bit. Facial recognition.</t>
  </si>
  <si>
    <t xml:space="preserve">LDO_CAM</t>
  </si>
  <si>
    <t xml:space="preserve">LDO 2.8V 300mA (OV2640 AVDD)</t>
  </si>
  <si>
    <t xml:space="preserve">Diodes Inc.</t>
  </si>
  <si>
    <t xml:space="preserve">AMS1117-2.8</t>
  </si>
  <si>
    <t xml:space="preserve">C6186</t>
  </si>
  <si>
    <t xml:space="preserve">SOT-223</t>
  </si>
  <si>
    <t xml:space="preserve">OV2640 analog power supply.</t>
  </si>
  <si>
    <t xml:space="preserve">U8</t>
  </si>
  <si>
    <t xml:space="preserve">DISPLAY</t>
  </si>
  <si>
    <t xml:space="preserve">GC9A01A Round LCD 240×240 1.28"</t>
  </si>
  <si>
    <t xml:space="preserve">Galaxycore</t>
  </si>
  <si>
    <t xml:space="preserve">GC9A01A</t>
  </si>
  <si>
    <t xml:space="preserve">C3045309</t>
  </si>
  <si>
    <t xml:space="preserve">AliExpress module</t>
  </si>
  <si>
    <t xml:space="preserve">1.28" IPS FPC</t>
  </si>
  <si>
    <t xml:space="preserve">SPI 40MHz. 60Hz. 160° view. Backlight 40mA.</t>
  </si>
  <si>
    <t xml:space="preserve">Q1</t>
  </si>
  <si>
    <t xml:space="preserve">N-MOSFET Si2302 (LCD backlight)</t>
  </si>
  <si>
    <t xml:space="preserve">Vishay</t>
  </si>
  <si>
    <t xml:space="preserve">Si2302</t>
  </si>
  <si>
    <t xml:space="preserve">C11853</t>
  </si>
  <si>
    <t xml:space="preserve">SOT-23</t>
  </si>
  <si>
    <t xml:space="preserve">PWM backlight control GPIO16.</t>
  </si>
  <si>
    <t xml:space="preserve">U4</t>
  </si>
  <si>
    <t xml:space="preserve">POWER</t>
  </si>
  <si>
    <t xml:space="preserve">TP4056 Li-ion Charger 1A + DW01A protection</t>
  </si>
  <si>
    <t xml:space="preserve">TOPPOWER</t>
  </si>
  <si>
    <t xml:space="preserve">TP4056</t>
  </si>
  <si>
    <t xml:space="preserve">C16581</t>
  </si>
  <si>
    <t xml:space="preserve">SOP-8</t>
  </si>
  <si>
    <t xml:space="preserve">500mA charge (R_PROG=2kΩ). DW01A OVP/UVP/OCP.</t>
  </si>
  <si>
    <t xml:space="preserve">U5</t>
  </si>
  <si>
    <t xml:space="preserve">TPS63020 Buck-Boost 3.3V / 1.2A</t>
  </si>
  <si>
    <t xml:space="preserve">Texas Instruments</t>
  </si>
  <si>
    <t xml:space="preserve">TPS63020DSJT</t>
  </si>
  <si>
    <t xml:space="preserve">C130039</t>
  </si>
  <si>
    <t xml:space="preserve">Mouser 595-TPS63020DSJT</t>
  </si>
  <si>
    <t xml:space="preserve">VSON-10 3×3mm</t>
  </si>
  <si>
    <t xml:space="preserve">VIN 2.5–5.5V → 3.3V. η=96%. Li-ion full range.</t>
  </si>
  <si>
    <t xml:space="preserve">LDO_1V8</t>
  </si>
  <si>
    <t xml:space="preserve">LDO 1.8V 600mA (ESP32-S3 core)</t>
  </si>
  <si>
    <t xml:space="preserve">AP2112K-1.8TRG1</t>
  </si>
  <si>
    <t xml:space="preserve">C51118</t>
  </si>
  <si>
    <t xml:space="preserve">SOT-25</t>
  </si>
  <si>
    <t xml:space="preserve">ESP32-S3 VDD_SDIO + OV2640 DVDD.</t>
  </si>
  <si>
    <t xml:space="preserve">LDO_MIC</t>
  </si>
  <si>
    <t xml:space="preserve">LDO 1.8V 150mA (MEMS bias)</t>
  </si>
  <si>
    <t xml:space="preserve">Torex</t>
  </si>
  <si>
    <t xml:space="preserve">XC6206P182MR</t>
  </si>
  <si>
    <t xml:space="preserve">C5446</t>
  </si>
  <si>
    <t xml:space="preserve">SOT-23-3</t>
  </si>
  <si>
    <t xml:space="preserve">Dedicated clean rail for INMP441 VDD.</t>
  </si>
  <si>
    <t xml:space="preserve">BAT1</t>
  </si>
  <si>
    <t xml:space="preserve">Li-ion Battery 3.7V 3000mAh</t>
  </si>
  <si>
    <t xml:space="preserve">CATL or equiv.</t>
  </si>
  <si>
    <t xml:space="preserve">ICR18650-30Q or flat</t>
  </si>
  <si>
    <t xml:space="preserve">Battery suppliers</t>
  </si>
  <si>
    <t xml:space="preserve">JST PH2 connector</t>
  </si>
  <si>
    <t xml:space="preserve">8h active @ 313mA. UN38.3 certified.</t>
  </si>
  <si>
    <t xml:space="preserve">F1</t>
  </si>
  <si>
    <t xml:space="preserve">PTC Fuse 1.5A (battery protection)</t>
  </si>
  <si>
    <t xml:space="preserve">Littelfuse</t>
  </si>
  <si>
    <t xml:space="preserve">MICROSMD150F-2</t>
  </si>
  <si>
    <t xml:space="preserve">C210357</t>
  </si>
  <si>
    <t xml:space="preserve">Mouser</t>
  </si>
  <si>
    <t xml:space="preserve">SMD 1210</t>
  </si>
  <si>
    <t xml:space="preserve">Resettable. Protects battery connector.</t>
  </si>
  <si>
    <t xml:space="preserve">J1</t>
  </si>
  <si>
    <t xml:space="preserve">CONNECTIVITY</t>
  </si>
  <si>
    <t xml:space="preserve">USB-C 2.0 Connector 16-pin</t>
  </si>
  <si>
    <t xml:space="preserve">Korean Hroparts</t>
  </si>
  <si>
    <t xml:space="preserve">TYPE-C-31-M-12</t>
  </si>
  <si>
    <t xml:space="preserve">C165948</t>
  </si>
  <si>
    <t xml:space="preserve">SMD 16P</t>
  </si>
  <si>
    <t xml:space="preserve">Power + data. USB 2.0. 5V/2A compatible.</t>
  </si>
  <si>
    <t xml:space="preserve">U_USB</t>
  </si>
  <si>
    <t xml:space="preserve">CH340C USB-UART (programming)</t>
  </si>
  <si>
    <t xml:space="preserve">WCH</t>
  </si>
  <si>
    <t xml:space="preserve">CH340C</t>
  </si>
  <si>
    <t xml:space="preserve">C84681</t>
  </si>
  <si>
    <t xml:space="preserve">SOP-16</t>
  </si>
  <si>
    <t xml:space="preserve">UART bridge for firmware flashing.</t>
  </si>
  <si>
    <t xml:space="preserve">TVS1</t>
  </si>
  <si>
    <t xml:space="preserve">TVS Diode ESD USB-C</t>
  </si>
  <si>
    <t xml:space="preserve">Nexperia</t>
  </si>
  <si>
    <t xml:space="preserve">PRTR5V0U2X</t>
  </si>
  <si>
    <t xml:space="preserve">C12333</t>
  </si>
  <si>
    <t xml:space="preserve">SOT-363</t>
  </si>
  <si>
    <t xml:space="preserve">ESD protection on USB-C D+/D− lines.</t>
  </si>
  <si>
    <t xml:space="preserve">U9</t>
  </si>
  <si>
    <t xml:space="preserve">128MB QSPI NOR Flash</t>
  </si>
  <si>
    <t xml:space="preserve">Winbond</t>
  </si>
  <si>
    <t xml:space="preserve">W25Q128JVSIQ</t>
  </si>
  <si>
    <t xml:space="preserve">C97521</t>
  </si>
  <si>
    <t xml:space="preserve">SOIC-8</t>
  </si>
  <si>
    <t xml:space="preserve">External flash for AI models + TTS cache. Optional.</t>
  </si>
  <si>
    <t xml:space="preserve">D1</t>
  </si>
  <si>
    <t xml:space="preserve">UI</t>
  </si>
  <si>
    <t xml:space="preserve">WS2812B RGB LED Addressable</t>
  </si>
  <si>
    <t xml:space="preserve">Worldsemi</t>
  </si>
  <si>
    <t xml:space="preserve">WS2812B</t>
  </si>
  <si>
    <t xml:space="preserve">C114586</t>
  </si>
  <si>
    <t xml:space="preserve">SMD 5050</t>
  </si>
  <si>
    <t xml:space="preserve">Single-wire NZR. 3.3V via level-shifter.</t>
  </si>
  <si>
    <t xml:space="preserve">U_LS</t>
  </si>
  <si>
    <t xml:space="preserve">Level Shifter 3.3V→5V (WS2812B)</t>
  </si>
  <si>
    <t xml:space="preserve">TI</t>
  </si>
  <si>
    <t xml:space="preserve">SN74AHCT1G125DBVR</t>
  </si>
  <si>
    <t xml:space="preserve">C7460</t>
  </si>
  <si>
    <t xml:space="preserve">SOT-23-5</t>
  </si>
  <si>
    <t xml:space="preserve">3.3V GPIO → 5V NZR signal for WS2812B.</t>
  </si>
  <si>
    <t xml:space="preserve">SW1</t>
  </si>
  <si>
    <t xml:space="preserve">Tactile Button SMD 4×4mm</t>
  </si>
  <si>
    <t xml:space="preserve">ALPS</t>
  </si>
  <si>
    <t xml:space="preserve">SKRPACE010</t>
  </si>
  <si>
    <t xml:space="preserve">C319013</t>
  </si>
  <si>
    <t xml:space="preserve">SMD 4×4×1.5mm</t>
  </si>
  <si>
    <t xml:space="preserve">300k cycles. 2.55N. Multi-press detection.</t>
  </si>
  <si>
    <t xml:space="preserve">PCB1</t>
  </si>
  <si>
    <t xml:space="preserve">MECHANICAL</t>
  </si>
  <si>
    <t xml:space="preserve">PCB 2-layer FR4 ENIG 80×60mm</t>
  </si>
  <si>
    <t xml:space="preserve">JLCPCB</t>
  </si>
  <si>
    <t xml:space="preserve">PCBWay / EasyEDA</t>
  </si>
  <si>
    <t xml:space="preserve">1.6mm, ENIG</t>
  </si>
  <si>
    <t xml:space="preserve">Min trace 0.1mm/0.1mm. Solder mask green.</t>
  </si>
  <si>
    <t xml:space="preserve">ENC1</t>
  </si>
  <si>
    <t xml:space="preserve">Enclosure ABS PC-Blend Injection</t>
  </si>
  <si>
    <t xml:space="preserve">Custom mold</t>
  </si>
  <si>
    <t xml:space="preserve">OMH Shenzhen</t>
  </si>
  <si>
    <t xml:space="preserve">ABS UL94-V0</t>
  </si>
  <si>
    <t xml:space="preserve">IP40. Child-safe rounded corners. Mold: ~5k€.</t>
  </si>
  <si>
    <t xml:space="preserve">CONN1</t>
  </si>
  <si>
    <t xml:space="preserve">JST PH2 Battery Connector (male + female)</t>
  </si>
  <si>
    <t xml:space="preserve">JST</t>
  </si>
  <si>
    <t xml:space="preserve">B2B-PH-K-S + PHR-2</t>
  </si>
  <si>
    <t xml:space="preserve">C131337</t>
  </si>
  <si>
    <t xml:space="preserve">Through-hole</t>
  </si>
  <si>
    <t xml:space="preserve">Battery harness.</t>
  </si>
  <si>
    <t xml:space="preserve">THERMAL</t>
  </si>
  <si>
    <t xml:space="preserve">Thermal pad / Kapton tape set</t>
  </si>
  <si>
    <t xml:space="preserve">3M / local</t>
  </si>
  <si>
    <t xml:space="preserve">Various</t>
  </si>
  <si>
    <t xml:space="preserve">Battery isolation + ESP32 heat spreader.</t>
  </si>
  <si>
    <t xml:space="preserve">PASS1</t>
  </si>
  <si>
    <t xml:space="preserve">ASSEMBLY</t>
  </si>
  <si>
    <t xml:space="preserve">Resistors assorted 0402 (10kΩ, 33Ω, 100kΩ, 2kΩ…)</t>
  </si>
  <si>
    <t xml:space="preserve">Yageo / LCSC</t>
  </si>
  <si>
    <t xml:space="preserve">0402</t>
  </si>
  <si>
    <t xml:space="preserve">Pull-ups, terminators, PROG resistor.</t>
  </si>
  <si>
    <t xml:space="preserve">PASS2</t>
  </si>
  <si>
    <t xml:space="preserve">MLCC Caps 0402/0805 (100nF, 10µF, 220nF…)</t>
  </si>
  <si>
    <t xml:space="preserve">Samsung / Yageo</t>
  </si>
  <si>
    <t xml:space="preserve">0402/0805</t>
  </si>
  <si>
    <t xml:space="preserve">Decoupling on all power rails.</t>
  </si>
  <si>
    <t xml:space="preserve">PASS3</t>
  </si>
  <si>
    <t xml:space="preserve">Inductors 2.2µH 0805 (incl. L1/L2)</t>
  </si>
  <si>
    <t xml:space="preserve">LQM21FN2R2</t>
  </si>
  <si>
    <t xml:space="preserve">Already counted in AUDIO. Ref here for BOM total.</t>
  </si>
  <si>
    <t xml:space="preserve">MISC</t>
  </si>
  <si>
    <t xml:space="preserve">Miscellaneous (screws M2, gasket, label, packaging)</t>
  </si>
  <si>
    <t xml:space="preserve">Local</t>
  </si>
  <si>
    <t xml:space="preserve">IP40 gasket USB-C. Assembly hardware.</t>
  </si>
  <si>
    <t xml:space="preserve">TOTAL BOM COST (per unit)</t>
  </si>
  <si>
    <t xml:space="preserve">BOBBY v2.0 — COST SUMMARY</t>
  </si>
  <si>
    <t xml:space="preserve">BOM Cost Analysis by Category and Volume</t>
  </si>
  <si>
    <t xml:space="preserve">Cost @1k (€)</t>
  </si>
  <si>
    <t xml:space="preserve">Cost @10k (€)</t>
  </si>
  <si>
    <t xml:space="preserve">% of BOM @10k</t>
  </si>
  <si>
    <t xml:space="preserve">TOTAL BOM (components only)</t>
  </si>
  <si>
    <t xml:space="preserve">100.0%</t>
  </si>
  <si>
    <t xml:space="preserve">FULLY-LOADED UNIT COST BREAKDOWN</t>
  </si>
  <si>
    <t xml:space="preserve">BOM Components</t>
  </si>
  <si>
    <t xml:space="preserve">PCB Assembly (PCBA)</t>
  </si>
  <si>
    <t xml:space="preserve">End-of-Line Test (EOL)</t>
  </si>
  <si>
    <t xml:space="preserve">Logistics &amp; Packaging</t>
  </si>
  <si>
    <t xml:space="preserve">Mold Amortization (50k pcs)</t>
  </si>
  <si>
    <t xml:space="preserve">Warranty Reserve (5%)</t>
  </si>
  <si>
    <t xml:space="preserve">TOTAL PRODUCTION COST / UNIT</t>
  </si>
  <si>
    <t xml:space="preserve">✅ Target: ≤ 30€/unit @ 10k — MVP within budget. Retail price target: 79€–99€ (3.0–3.5× BOM margin)</t>
  </si>
  <si>
    <t xml:space="preserve">BOBBY v2.0 — SUPPLIER DIRECTORY</t>
  </si>
  <si>
    <t xml:space="preserve">Supplier</t>
  </si>
  <si>
    <t xml:space="preserve">URL</t>
  </si>
  <si>
    <t xml:space="preserve">Min Order</t>
  </si>
  <si>
    <t xml:space="preserve">Lead Time</t>
  </si>
  <si>
    <t xml:space="preserve">lcsc.com</t>
  </si>
  <si>
    <t xml:space="preserve">All components</t>
  </si>
  <si>
    <t xml:space="preserve">1 pcs</t>
  </si>
  <si>
    <t xml:space="preserve">3–5 days</t>
  </si>
  <si>
    <t xml:space="preserve">Best price on Chinese components. Integrates with JLCPCB PCBA.</t>
  </si>
  <si>
    <t xml:space="preserve">jlcpcb.com</t>
  </si>
  <si>
    <t xml:space="preserve">PCB + PCBA</t>
  </si>
  <si>
    <t xml:space="preserve">5 pcs</t>
  </si>
  <si>
    <t xml:space="preserve">5–10 days</t>
  </si>
  <si>
    <t xml:space="preserve">Best value for &lt;5k PCB orders. PCBA for SMT components.</t>
  </si>
  <si>
    <t xml:space="preserve">mouser.com</t>
  </si>
  <si>
    <t xml:space="preserve">2–3 days</t>
  </si>
  <si>
    <t xml:space="preserve">Western distributor. Higher price but global stock.</t>
  </si>
  <si>
    <t xml:space="preserve">Digi-Key</t>
  </si>
  <si>
    <t xml:space="preserve">digikey.com</t>
  </si>
  <si>
    <t xml:space="preserve">Reliable for samples and low volume. Good TI/ADI stock.</t>
  </si>
  <si>
    <t xml:space="preserve">AliExpress</t>
  </si>
  <si>
    <t xml:space="preserve">aliexpress.com</t>
  </si>
  <si>
    <t xml:space="preserve">Modules/screens</t>
  </si>
  <si>
    <t xml:space="preserve">7–20 days</t>
  </si>
  <si>
    <t xml:space="preserve">Camera modules, LCD modules. Use for prototyping only.</t>
  </si>
  <si>
    <t xml:space="preserve">PCBWay</t>
  </si>
  <si>
    <t xml:space="preserve">pcbway.com</t>
  </si>
  <si>
    <t xml:space="preserve">7–14 days</t>
  </si>
  <si>
    <t xml:space="preserve">Alternative to JLCPCB for larger production runs.</t>
  </si>
  <si>
    <t xml:space="preserve">MacroFab</t>
  </si>
  <si>
    <t xml:space="preserve">macrofab.com</t>
  </si>
  <si>
    <t xml:space="preserve">PCBA</t>
  </si>
  <si>
    <t xml:space="preserve">10 pcs</t>
  </si>
  <si>
    <t xml:space="preserve">14–21 days</t>
  </si>
  <si>
    <t xml:space="preserve">US-based PCBA. Higher cost but DFM support.</t>
  </si>
  <si>
    <t xml:space="preserve">OMH (Shenzhen)</t>
  </si>
  <si>
    <t xml:space="preserve">omhcn.com</t>
  </si>
  <si>
    <t xml:space="preserve">Enclosure (mold)</t>
  </si>
  <si>
    <t xml:space="preserve">1k pcs</t>
  </si>
  <si>
    <t xml:space="preserve">30–45 days</t>
  </si>
  <si>
    <t xml:space="preserve">ABS injection molding. ~5k€ for steel mold.</t>
  </si>
  <si>
    <t xml:space="preserve">espressif.com</t>
  </si>
  <si>
    <t xml:space="preserve">ESP32 SoCs</t>
  </si>
  <si>
    <t xml:space="preserve">5–7 days</t>
  </si>
  <si>
    <t xml:space="preserve">Official distributor for ESP32-S3 modules.</t>
  </si>
  <si>
    <t xml:space="preserve">invensense.tdk.com</t>
  </si>
  <si>
    <t xml:space="preserve">MEMS Mics</t>
  </si>
  <si>
    <t xml:space="preserve">100 pcs</t>
  </si>
  <si>
    <t xml:space="preserve">10 days</t>
  </si>
  <si>
    <t xml:space="preserve">INMP441 official. Also via Mouser.</t>
  </si>
  <si>
    <t xml:space="preserve">Texas Instrum.</t>
  </si>
  <si>
    <t xml:space="preserve">ti.com</t>
  </si>
  <si>
    <t xml:space="preserve">PMIC (TPS63020)</t>
  </si>
  <si>
    <t xml:space="preserve">TI store for samples. Volume via Mouser/Digi-Key.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</si>
</sst>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\€;[RED]\(#,##0.00&quot;€)&quot;;\-"/>
    <numFmt numFmtId="166" formatCode="#,##0.00\€"/>
    <numFmt numFmtId="167" formatCode="0.0%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CCCCC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7030A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833C00"/>
      <name val="Arial"/>
      <family val="0"/>
      <charset val="1"/>
    </font>
    <font>
      <b val="true"/>
      <sz val="10"/>
      <color rgb="FFC55A11"/>
      <name val="Arial"/>
      <family val="0"/>
      <charset val="1"/>
    </font>
    <font>
      <b val="true"/>
      <sz val="10"/>
      <color rgb="FF17375E"/>
      <name val="Arial"/>
      <family val="0"/>
      <charset val="1"/>
    </font>
    <font>
      <b val="true"/>
      <sz val="10"/>
      <color rgb="FF4472C4"/>
      <name val="Arial"/>
      <family val="0"/>
      <charset val="1"/>
    </font>
    <font>
      <b val="true"/>
      <sz val="10"/>
      <color rgb="FF636363"/>
      <name val="Arial"/>
      <family val="0"/>
      <charset val="1"/>
    </font>
    <font>
      <b val="true"/>
      <sz val="10"/>
      <color rgb="FF40404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999999"/>
      <name val="Arial"/>
      <family val="0"/>
      <charset val="1"/>
    </font>
    <font>
      <b val="true"/>
      <sz val="11"/>
      <color rgb="FF1F2D5A"/>
      <name val="Arial"/>
      <family val="0"/>
      <charset val="1"/>
    </font>
    <font>
      <i val="true"/>
      <sz val="9"/>
      <color rgb="FF1A5276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2D5A"/>
        <bgColor rgb="FF17375E"/>
      </patternFill>
    </fill>
    <fill>
      <patternFill patternType="solid">
        <fgColor rgb="FF2B3A6B"/>
        <bgColor rgb="FF344575"/>
      </patternFill>
    </fill>
    <fill>
      <patternFill patternType="solid">
        <fgColor rgb="FFFFFFFF"/>
        <bgColor rgb="FFF7F8FC"/>
      </patternFill>
    </fill>
    <fill>
      <patternFill patternType="solid">
        <fgColor rgb="FF1F4E79"/>
        <bgColor rgb="FF1A5276"/>
      </patternFill>
    </fill>
    <fill>
      <patternFill patternType="solid">
        <fgColor rgb="FFF7F8FC"/>
        <bgColor rgb="FFF0F4FF"/>
      </patternFill>
    </fill>
    <fill>
      <patternFill patternType="solid">
        <fgColor rgb="FF7030A0"/>
        <bgColor rgb="FF993366"/>
      </patternFill>
    </fill>
    <fill>
      <patternFill patternType="solid">
        <fgColor rgb="FF375623"/>
        <bgColor rgb="FF404040"/>
      </patternFill>
    </fill>
    <fill>
      <patternFill patternType="solid">
        <fgColor rgb="FF833C00"/>
        <bgColor rgb="FF993366"/>
      </patternFill>
    </fill>
    <fill>
      <patternFill patternType="solid">
        <fgColor rgb="FFC55A11"/>
        <bgColor rgb="FF833C00"/>
      </patternFill>
    </fill>
    <fill>
      <patternFill patternType="solid">
        <fgColor rgb="FF17375E"/>
        <bgColor rgb="FF1F2D5A"/>
      </patternFill>
    </fill>
    <fill>
      <patternFill patternType="solid">
        <fgColor rgb="FF4472C4"/>
        <bgColor rgb="FF636363"/>
      </patternFill>
    </fill>
    <fill>
      <patternFill patternType="solid">
        <fgColor rgb="FF636363"/>
        <bgColor rgb="FF555555"/>
      </patternFill>
    </fill>
    <fill>
      <patternFill patternType="solid">
        <fgColor rgb="FF404040"/>
        <bgColor rgb="FF2B3A6B"/>
      </patternFill>
    </fill>
    <fill>
      <patternFill patternType="solid">
        <fgColor rgb="FF344575"/>
        <bgColor rgb="FF2B3A6B"/>
      </patternFill>
    </fill>
    <fill>
      <patternFill patternType="solid">
        <fgColor rgb="FFF0F4FF"/>
        <bgColor rgb="FFF7F8FC"/>
      </patternFill>
    </fill>
    <fill>
      <patternFill patternType="solid">
        <fgColor rgb="FF1A5276"/>
        <bgColor rgb="FF1F4E7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B0B0B0"/>
      </left>
      <right/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1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0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1" fillId="1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4E79"/>
      <rgbColor rgb="FFCCCCCC"/>
      <rgbColor rgb="FF555555"/>
      <rgbColor rgb="FFB0B0B0"/>
      <rgbColor rgb="FF7030A0"/>
      <rgbColor rgb="FFF7F8FC"/>
      <rgbColor rgb="FFF0F4FF"/>
      <rgbColor rgb="FF660066"/>
      <rgbColor rgb="FFFF8080"/>
      <rgbColor rgb="FF1A5276"/>
      <rgbColor rgb="FFCCCCFF"/>
      <rgbColor rgb="FF000080"/>
      <rgbColor rgb="FFFF00FF"/>
      <rgbColor rgb="FFFFFF00"/>
      <rgbColor rgb="FF00FFFF"/>
      <rgbColor rgb="FF800080"/>
      <rgbColor rgb="FF800000"/>
      <rgbColor rgb="FF344575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C55A11"/>
      <rgbColor rgb="FF636363"/>
      <rgbColor rgb="FF999999"/>
      <rgbColor rgb="FF17375E"/>
      <rgbColor rgb="FF339966"/>
      <rgbColor rgb="FF1F2D5A"/>
      <rgbColor rgb="FF375623"/>
      <rgbColor rgb="FF833C00"/>
      <rgbColor rgb="FF993366"/>
      <rgbColor rgb="FF2B3A6B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6"/>
    <col collapsed="false" customWidth="true" hidden="false" outlineLevel="0" max="13" min="10" style="0" width="12"/>
    <col collapsed="false" customWidth="true" hidden="false" outlineLevel="0" max="14" min="14" style="0" width="28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6" hidden="false" customHeight="true" outlineLevel="0" collapsed="false"/>
    <row r="4" customFormat="false" ht="39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36" hidden="false" customHeight="true" outlineLevel="0" collapsed="false">
      <c r="A5" s="4" t="s">
        <v>16</v>
      </c>
      <c r="B5" s="5" t="s">
        <v>17</v>
      </c>
      <c r="C5" s="6" t="s">
        <v>18</v>
      </c>
      <c r="D5" s="6" t="s">
        <v>19</v>
      </c>
      <c r="E5" s="6" t="s">
        <v>20</v>
      </c>
      <c r="F5" s="6" t="s">
        <v>21</v>
      </c>
      <c r="G5" s="6" t="s">
        <v>22</v>
      </c>
      <c r="H5" s="6" t="s">
        <v>23</v>
      </c>
      <c r="I5" s="7" t="n">
        <v>1</v>
      </c>
      <c r="J5" s="8" t="n">
        <v>4.2</v>
      </c>
      <c r="K5" s="8" t="n">
        <v>3.5</v>
      </c>
      <c r="L5" s="9" t="n">
        <f aca="false">I5*J5</f>
        <v>4.2</v>
      </c>
      <c r="M5" s="9" t="n">
        <f aca="false">I5*K5</f>
        <v>3.5</v>
      </c>
      <c r="N5" s="10" t="s">
        <v>24</v>
      </c>
    </row>
    <row r="6" customFormat="false" ht="36" hidden="false" customHeight="true" outlineLevel="0" collapsed="false">
      <c r="A6" s="11" t="s">
        <v>25</v>
      </c>
      <c r="B6" s="12" t="s">
        <v>26</v>
      </c>
      <c r="C6" s="13" t="s">
        <v>27</v>
      </c>
      <c r="D6" s="13" t="s">
        <v>28</v>
      </c>
      <c r="E6" s="13" t="s">
        <v>29</v>
      </c>
      <c r="F6" s="13" t="s">
        <v>30</v>
      </c>
      <c r="G6" s="13" t="s">
        <v>31</v>
      </c>
      <c r="H6" s="13" t="s">
        <v>32</v>
      </c>
      <c r="I6" s="14" t="n">
        <v>1</v>
      </c>
      <c r="J6" s="15" t="n">
        <v>1.1</v>
      </c>
      <c r="K6" s="15" t="n">
        <v>0.85</v>
      </c>
      <c r="L6" s="16" t="n">
        <f aca="false">I6*J6</f>
        <v>1.1</v>
      </c>
      <c r="M6" s="16" t="n">
        <f aca="false">I6*K6</f>
        <v>0.85</v>
      </c>
      <c r="N6" s="17" t="s">
        <v>33</v>
      </c>
    </row>
    <row r="7" customFormat="false" ht="36" hidden="false" customHeight="true" outlineLevel="0" collapsed="false">
      <c r="A7" s="18" t="s">
        <v>34</v>
      </c>
      <c r="B7" s="12" t="s">
        <v>26</v>
      </c>
      <c r="C7" s="6" t="s">
        <v>35</v>
      </c>
      <c r="D7" s="6" t="s">
        <v>28</v>
      </c>
      <c r="E7" s="6" t="s">
        <v>29</v>
      </c>
      <c r="F7" s="6" t="s">
        <v>30</v>
      </c>
      <c r="G7" s="6" t="s">
        <v>31</v>
      </c>
      <c r="H7" s="6" t="s">
        <v>32</v>
      </c>
      <c r="I7" s="7" t="n">
        <v>1</v>
      </c>
      <c r="J7" s="8" t="n">
        <v>1.1</v>
      </c>
      <c r="K7" s="8" t="n">
        <v>0.85</v>
      </c>
      <c r="L7" s="9" t="n">
        <f aca="false">I7*J7</f>
        <v>1.1</v>
      </c>
      <c r="M7" s="9" t="n">
        <f aca="false">I7*K7</f>
        <v>0.85</v>
      </c>
      <c r="N7" s="10" t="s">
        <v>36</v>
      </c>
    </row>
    <row r="8" customFormat="false" ht="36" hidden="false" customHeight="true" outlineLevel="0" collapsed="false">
      <c r="A8" s="11" t="s">
        <v>37</v>
      </c>
      <c r="B8" s="12" t="s">
        <v>26</v>
      </c>
      <c r="C8" s="13" t="s">
        <v>38</v>
      </c>
      <c r="D8" s="13" t="s">
        <v>39</v>
      </c>
      <c r="E8" s="13" t="s">
        <v>40</v>
      </c>
      <c r="F8" s="13" t="s">
        <v>41</v>
      </c>
      <c r="G8" s="13" t="s">
        <v>42</v>
      </c>
      <c r="H8" s="13" t="s">
        <v>43</v>
      </c>
      <c r="I8" s="14" t="n">
        <v>1</v>
      </c>
      <c r="J8" s="15" t="n">
        <v>1.5</v>
      </c>
      <c r="K8" s="15" t="n">
        <v>1.2</v>
      </c>
      <c r="L8" s="16" t="n">
        <f aca="false">I8*J8</f>
        <v>1.5</v>
      </c>
      <c r="M8" s="16" t="n">
        <f aca="false">I8*K8</f>
        <v>1.2</v>
      </c>
      <c r="N8" s="17" t="s">
        <v>44</v>
      </c>
    </row>
    <row r="9" customFormat="false" ht="36" hidden="false" customHeight="true" outlineLevel="0" collapsed="false">
      <c r="A9" s="18" t="s">
        <v>45</v>
      </c>
      <c r="B9" s="12" t="s">
        <v>26</v>
      </c>
      <c r="C9" s="6" t="s">
        <v>46</v>
      </c>
      <c r="D9" s="6" t="s">
        <v>47</v>
      </c>
      <c r="E9" s="6" t="s">
        <v>48</v>
      </c>
      <c r="F9" s="6" t="s">
        <v>49</v>
      </c>
      <c r="G9" s="6" t="s">
        <v>50</v>
      </c>
      <c r="H9" s="6" t="s">
        <v>51</v>
      </c>
      <c r="I9" s="7" t="n">
        <v>1</v>
      </c>
      <c r="J9" s="8" t="n">
        <v>0.9</v>
      </c>
      <c r="K9" s="8" t="n">
        <v>0.6</v>
      </c>
      <c r="L9" s="9" t="n">
        <f aca="false">I9*J9</f>
        <v>0.9</v>
      </c>
      <c r="M9" s="9" t="n">
        <f aca="false">I9*K9</f>
        <v>0.6</v>
      </c>
      <c r="N9" s="10" t="s">
        <v>52</v>
      </c>
    </row>
    <row r="10" customFormat="false" ht="36" hidden="false" customHeight="true" outlineLevel="0" collapsed="false">
      <c r="A10" s="11" t="s">
        <v>53</v>
      </c>
      <c r="B10" s="12" t="s">
        <v>26</v>
      </c>
      <c r="C10" s="13" t="s">
        <v>54</v>
      </c>
      <c r="D10" s="13" t="s">
        <v>55</v>
      </c>
      <c r="E10" s="13" t="s">
        <v>56</v>
      </c>
      <c r="F10" s="13" t="s">
        <v>57</v>
      </c>
      <c r="G10" s="13" t="s">
        <v>58</v>
      </c>
      <c r="H10" s="13" t="s">
        <v>59</v>
      </c>
      <c r="I10" s="14" t="n">
        <v>2</v>
      </c>
      <c r="J10" s="15" t="n">
        <v>0.12</v>
      </c>
      <c r="K10" s="15" t="n">
        <v>0.09</v>
      </c>
      <c r="L10" s="16" t="n">
        <f aca="false">I10*J10</f>
        <v>0.24</v>
      </c>
      <c r="M10" s="16" t="n">
        <f aca="false">I10*K10</f>
        <v>0.18</v>
      </c>
      <c r="N10" s="17" t="s">
        <v>60</v>
      </c>
    </row>
    <row r="11" customFormat="false" ht="36" hidden="false" customHeight="true" outlineLevel="0" collapsed="false">
      <c r="A11" s="18" t="s">
        <v>61</v>
      </c>
      <c r="B11" s="12" t="s">
        <v>26</v>
      </c>
      <c r="C11" s="6" t="s">
        <v>62</v>
      </c>
      <c r="D11" s="6" t="s">
        <v>63</v>
      </c>
      <c r="E11" s="6" t="s">
        <v>64</v>
      </c>
      <c r="F11" s="6" t="s">
        <v>65</v>
      </c>
      <c r="G11" s="6" t="s">
        <v>58</v>
      </c>
      <c r="H11" s="6" t="s">
        <v>59</v>
      </c>
      <c r="I11" s="7" t="n">
        <v>2</v>
      </c>
      <c r="J11" s="8" t="n">
        <v>0.04</v>
      </c>
      <c r="K11" s="8" t="n">
        <v>0.03</v>
      </c>
      <c r="L11" s="9" t="n">
        <f aca="false">I11*J11</f>
        <v>0.08</v>
      </c>
      <c r="M11" s="9" t="n">
        <f aca="false">I11*K11</f>
        <v>0.06</v>
      </c>
      <c r="N11" s="10" t="s">
        <v>66</v>
      </c>
    </row>
    <row r="12" customFormat="false" ht="36" hidden="false" customHeight="true" outlineLevel="0" collapsed="false">
      <c r="A12" s="19" t="s">
        <v>67</v>
      </c>
      <c r="B12" s="20" t="s">
        <v>68</v>
      </c>
      <c r="C12" s="13" t="s">
        <v>69</v>
      </c>
      <c r="D12" s="13" t="s">
        <v>70</v>
      </c>
      <c r="E12" s="13" t="s">
        <v>71</v>
      </c>
      <c r="F12" s="13" t="s">
        <v>72</v>
      </c>
      <c r="G12" s="13" t="s">
        <v>73</v>
      </c>
      <c r="H12" s="13" t="s">
        <v>74</v>
      </c>
      <c r="I12" s="14" t="n">
        <v>1</v>
      </c>
      <c r="J12" s="15" t="n">
        <v>3.2</v>
      </c>
      <c r="K12" s="15" t="n">
        <v>2.5</v>
      </c>
      <c r="L12" s="16" t="n">
        <f aca="false">I12*J12</f>
        <v>3.2</v>
      </c>
      <c r="M12" s="16" t="n">
        <f aca="false">I12*K12</f>
        <v>2.5</v>
      </c>
      <c r="N12" s="17" t="s">
        <v>75</v>
      </c>
    </row>
    <row r="13" customFormat="false" ht="36" hidden="false" customHeight="true" outlineLevel="0" collapsed="false">
      <c r="A13" s="21" t="s">
        <v>76</v>
      </c>
      <c r="B13" s="20" t="s">
        <v>68</v>
      </c>
      <c r="C13" s="6" t="s">
        <v>77</v>
      </c>
      <c r="D13" s="6" t="s">
        <v>78</v>
      </c>
      <c r="E13" s="6" t="s">
        <v>79</v>
      </c>
      <c r="F13" s="6" t="s">
        <v>80</v>
      </c>
      <c r="G13" s="6" t="s">
        <v>58</v>
      </c>
      <c r="H13" s="6" t="s">
        <v>81</v>
      </c>
      <c r="I13" s="7" t="n">
        <v>1</v>
      </c>
      <c r="J13" s="8" t="n">
        <v>0.12</v>
      </c>
      <c r="K13" s="8" t="n">
        <v>0.09</v>
      </c>
      <c r="L13" s="9" t="n">
        <f aca="false">I13*J13</f>
        <v>0.12</v>
      </c>
      <c r="M13" s="9" t="n">
        <f aca="false">I13*K13</f>
        <v>0.09</v>
      </c>
      <c r="N13" s="10" t="s">
        <v>82</v>
      </c>
    </row>
    <row r="14" customFormat="false" ht="36" hidden="false" customHeight="true" outlineLevel="0" collapsed="false">
      <c r="A14" s="22" t="s">
        <v>83</v>
      </c>
      <c r="B14" s="23" t="s">
        <v>84</v>
      </c>
      <c r="C14" s="13" t="s">
        <v>85</v>
      </c>
      <c r="D14" s="13" t="s">
        <v>86</v>
      </c>
      <c r="E14" s="13" t="s">
        <v>87</v>
      </c>
      <c r="F14" s="13" t="s">
        <v>88</v>
      </c>
      <c r="G14" s="13" t="s">
        <v>89</v>
      </c>
      <c r="H14" s="13" t="s">
        <v>90</v>
      </c>
      <c r="I14" s="14" t="n">
        <v>1</v>
      </c>
      <c r="J14" s="15" t="n">
        <v>2.4</v>
      </c>
      <c r="K14" s="15" t="n">
        <v>1.8</v>
      </c>
      <c r="L14" s="16" t="n">
        <f aca="false">I14*J14</f>
        <v>2.4</v>
      </c>
      <c r="M14" s="16" t="n">
        <f aca="false">I14*K14</f>
        <v>1.8</v>
      </c>
      <c r="N14" s="17" t="s">
        <v>91</v>
      </c>
    </row>
    <row r="15" customFormat="false" ht="36" hidden="false" customHeight="true" outlineLevel="0" collapsed="false">
      <c r="A15" s="24" t="s">
        <v>92</v>
      </c>
      <c r="B15" s="23" t="s">
        <v>84</v>
      </c>
      <c r="C15" s="6" t="s">
        <v>93</v>
      </c>
      <c r="D15" s="6" t="s">
        <v>94</v>
      </c>
      <c r="E15" s="6" t="s">
        <v>95</v>
      </c>
      <c r="F15" s="6" t="s">
        <v>96</v>
      </c>
      <c r="G15" s="6" t="s">
        <v>58</v>
      </c>
      <c r="H15" s="6" t="s">
        <v>97</v>
      </c>
      <c r="I15" s="7" t="n">
        <v>1</v>
      </c>
      <c r="J15" s="8" t="n">
        <v>0.05</v>
      </c>
      <c r="K15" s="8" t="n">
        <v>0.04</v>
      </c>
      <c r="L15" s="9" t="n">
        <f aca="false">I15*J15</f>
        <v>0.05</v>
      </c>
      <c r="M15" s="9" t="n">
        <f aca="false">I15*K15</f>
        <v>0.04</v>
      </c>
      <c r="N15" s="10" t="s">
        <v>98</v>
      </c>
    </row>
    <row r="16" customFormat="false" ht="36" hidden="false" customHeight="true" outlineLevel="0" collapsed="false">
      <c r="A16" s="25" t="s">
        <v>99</v>
      </c>
      <c r="B16" s="26" t="s">
        <v>100</v>
      </c>
      <c r="C16" s="13" t="s">
        <v>101</v>
      </c>
      <c r="D16" s="13" t="s">
        <v>102</v>
      </c>
      <c r="E16" s="13" t="s">
        <v>103</v>
      </c>
      <c r="F16" s="13" t="s">
        <v>104</v>
      </c>
      <c r="G16" s="13" t="s">
        <v>58</v>
      </c>
      <c r="H16" s="13" t="s">
        <v>105</v>
      </c>
      <c r="I16" s="14" t="n">
        <v>1</v>
      </c>
      <c r="J16" s="15" t="n">
        <v>0.2</v>
      </c>
      <c r="K16" s="15" t="n">
        <v>0.15</v>
      </c>
      <c r="L16" s="16" t="n">
        <f aca="false">I16*J16</f>
        <v>0.2</v>
      </c>
      <c r="M16" s="16" t="n">
        <f aca="false">I16*K16</f>
        <v>0.15</v>
      </c>
      <c r="N16" s="17" t="s">
        <v>106</v>
      </c>
    </row>
    <row r="17" customFormat="false" ht="36" hidden="false" customHeight="true" outlineLevel="0" collapsed="false">
      <c r="A17" s="27" t="s">
        <v>107</v>
      </c>
      <c r="B17" s="26" t="s">
        <v>100</v>
      </c>
      <c r="C17" s="6" t="s">
        <v>108</v>
      </c>
      <c r="D17" s="6" t="s">
        <v>109</v>
      </c>
      <c r="E17" s="6" t="s">
        <v>110</v>
      </c>
      <c r="F17" s="6" t="s">
        <v>111</v>
      </c>
      <c r="G17" s="6" t="s">
        <v>112</v>
      </c>
      <c r="H17" s="6" t="s">
        <v>113</v>
      </c>
      <c r="I17" s="7" t="n">
        <v>1</v>
      </c>
      <c r="J17" s="8" t="n">
        <v>2.2</v>
      </c>
      <c r="K17" s="8" t="n">
        <v>1.8</v>
      </c>
      <c r="L17" s="9" t="n">
        <f aca="false">I17*J17</f>
        <v>2.2</v>
      </c>
      <c r="M17" s="9" t="n">
        <f aca="false">I17*K17</f>
        <v>1.8</v>
      </c>
      <c r="N17" s="10" t="s">
        <v>114</v>
      </c>
    </row>
    <row r="18" customFormat="false" ht="36" hidden="false" customHeight="true" outlineLevel="0" collapsed="false">
      <c r="A18" s="25" t="s">
        <v>115</v>
      </c>
      <c r="B18" s="26" t="s">
        <v>100</v>
      </c>
      <c r="C18" s="13" t="s">
        <v>116</v>
      </c>
      <c r="D18" s="13" t="s">
        <v>78</v>
      </c>
      <c r="E18" s="13" t="s">
        <v>117</v>
      </c>
      <c r="F18" s="13" t="s">
        <v>118</v>
      </c>
      <c r="G18" s="13" t="s">
        <v>58</v>
      </c>
      <c r="H18" s="13" t="s">
        <v>119</v>
      </c>
      <c r="I18" s="14" t="n">
        <v>1</v>
      </c>
      <c r="J18" s="15" t="n">
        <v>0.08</v>
      </c>
      <c r="K18" s="15" t="n">
        <v>0.06</v>
      </c>
      <c r="L18" s="16" t="n">
        <f aca="false">I18*J18</f>
        <v>0.08</v>
      </c>
      <c r="M18" s="16" t="n">
        <f aca="false">I18*K18</f>
        <v>0.06</v>
      </c>
      <c r="N18" s="17" t="s">
        <v>120</v>
      </c>
    </row>
    <row r="19" customFormat="false" ht="36" hidden="false" customHeight="true" outlineLevel="0" collapsed="false">
      <c r="A19" s="27" t="s">
        <v>121</v>
      </c>
      <c r="B19" s="26" t="s">
        <v>100</v>
      </c>
      <c r="C19" s="6" t="s">
        <v>122</v>
      </c>
      <c r="D19" s="6" t="s">
        <v>123</v>
      </c>
      <c r="E19" s="6" t="s">
        <v>124</v>
      </c>
      <c r="F19" s="6" t="s">
        <v>125</v>
      </c>
      <c r="G19" s="6" t="s">
        <v>58</v>
      </c>
      <c r="H19" s="6" t="s">
        <v>126</v>
      </c>
      <c r="I19" s="7" t="n">
        <v>1</v>
      </c>
      <c r="J19" s="8" t="n">
        <v>0.06</v>
      </c>
      <c r="K19" s="8" t="n">
        <v>0.05</v>
      </c>
      <c r="L19" s="9" t="n">
        <f aca="false">I19*J19</f>
        <v>0.06</v>
      </c>
      <c r="M19" s="9" t="n">
        <f aca="false">I19*K19</f>
        <v>0.05</v>
      </c>
      <c r="N19" s="10" t="s">
        <v>127</v>
      </c>
    </row>
    <row r="20" customFormat="false" ht="36" hidden="false" customHeight="true" outlineLevel="0" collapsed="false">
      <c r="A20" s="25" t="s">
        <v>128</v>
      </c>
      <c r="B20" s="26" t="s">
        <v>100</v>
      </c>
      <c r="C20" s="13" t="s">
        <v>129</v>
      </c>
      <c r="D20" s="13" t="s">
        <v>130</v>
      </c>
      <c r="E20" s="13" t="s">
        <v>131</v>
      </c>
      <c r="F20" s="13" t="s">
        <v>49</v>
      </c>
      <c r="G20" s="13" t="s">
        <v>132</v>
      </c>
      <c r="H20" s="13" t="s">
        <v>133</v>
      </c>
      <c r="I20" s="14" t="n">
        <v>1</v>
      </c>
      <c r="J20" s="15" t="n">
        <v>4.2</v>
      </c>
      <c r="K20" s="15" t="n">
        <v>3.5</v>
      </c>
      <c r="L20" s="16" t="n">
        <f aca="false">I20*J20</f>
        <v>4.2</v>
      </c>
      <c r="M20" s="16" t="n">
        <f aca="false">I20*K20</f>
        <v>3.5</v>
      </c>
      <c r="N20" s="17" t="s">
        <v>134</v>
      </c>
    </row>
    <row r="21" customFormat="false" ht="36" hidden="false" customHeight="true" outlineLevel="0" collapsed="false">
      <c r="A21" s="27" t="s">
        <v>135</v>
      </c>
      <c r="B21" s="26" t="s">
        <v>100</v>
      </c>
      <c r="C21" s="6" t="s">
        <v>136</v>
      </c>
      <c r="D21" s="6" t="s">
        <v>137</v>
      </c>
      <c r="E21" s="6" t="s">
        <v>138</v>
      </c>
      <c r="F21" s="6" t="s">
        <v>139</v>
      </c>
      <c r="G21" s="6" t="s">
        <v>140</v>
      </c>
      <c r="H21" s="6" t="s">
        <v>141</v>
      </c>
      <c r="I21" s="7" t="n">
        <v>1</v>
      </c>
      <c r="J21" s="8" t="n">
        <v>0.15</v>
      </c>
      <c r="K21" s="8" t="n">
        <v>0.11</v>
      </c>
      <c r="L21" s="9" t="n">
        <f aca="false">I21*J21</f>
        <v>0.15</v>
      </c>
      <c r="M21" s="9" t="n">
        <f aca="false">I21*K21</f>
        <v>0.11</v>
      </c>
      <c r="N21" s="10" t="s">
        <v>142</v>
      </c>
    </row>
    <row r="22" customFormat="false" ht="36" hidden="false" customHeight="true" outlineLevel="0" collapsed="false">
      <c r="A22" s="28" t="s">
        <v>143</v>
      </c>
      <c r="B22" s="29" t="s">
        <v>144</v>
      </c>
      <c r="C22" s="13" t="s">
        <v>145</v>
      </c>
      <c r="D22" s="13" t="s">
        <v>146</v>
      </c>
      <c r="E22" s="13" t="s">
        <v>147</v>
      </c>
      <c r="F22" s="13" t="s">
        <v>148</v>
      </c>
      <c r="G22" s="13" t="s">
        <v>58</v>
      </c>
      <c r="H22" s="13" t="s">
        <v>149</v>
      </c>
      <c r="I22" s="14" t="n">
        <v>1</v>
      </c>
      <c r="J22" s="15" t="n">
        <v>0.25</v>
      </c>
      <c r="K22" s="15" t="n">
        <v>0.18</v>
      </c>
      <c r="L22" s="16" t="n">
        <f aca="false">I22*J22</f>
        <v>0.25</v>
      </c>
      <c r="M22" s="16" t="n">
        <f aca="false">I22*K22</f>
        <v>0.18</v>
      </c>
      <c r="N22" s="17" t="s">
        <v>150</v>
      </c>
    </row>
    <row r="23" customFormat="false" ht="36" hidden="false" customHeight="true" outlineLevel="0" collapsed="false">
      <c r="A23" s="30" t="s">
        <v>151</v>
      </c>
      <c r="B23" s="29" t="s">
        <v>144</v>
      </c>
      <c r="C23" s="6" t="s">
        <v>152</v>
      </c>
      <c r="D23" s="6" t="s">
        <v>153</v>
      </c>
      <c r="E23" s="6" t="s">
        <v>154</v>
      </c>
      <c r="F23" s="6" t="s">
        <v>155</v>
      </c>
      <c r="G23" s="6" t="s">
        <v>58</v>
      </c>
      <c r="H23" s="6" t="s">
        <v>156</v>
      </c>
      <c r="I23" s="7" t="n">
        <v>1</v>
      </c>
      <c r="J23" s="8" t="n">
        <v>0.35</v>
      </c>
      <c r="K23" s="8" t="n">
        <v>0.28</v>
      </c>
      <c r="L23" s="9" t="n">
        <f aca="false">I23*J23</f>
        <v>0.35</v>
      </c>
      <c r="M23" s="9" t="n">
        <f aca="false">I23*K23</f>
        <v>0.28</v>
      </c>
      <c r="N23" s="10" t="s">
        <v>157</v>
      </c>
    </row>
    <row r="24" customFormat="false" ht="36" hidden="false" customHeight="true" outlineLevel="0" collapsed="false">
      <c r="A24" s="28" t="s">
        <v>158</v>
      </c>
      <c r="B24" s="29" t="s">
        <v>144</v>
      </c>
      <c r="C24" s="13" t="s">
        <v>159</v>
      </c>
      <c r="D24" s="13" t="s">
        <v>160</v>
      </c>
      <c r="E24" s="13" t="s">
        <v>161</v>
      </c>
      <c r="F24" s="13" t="s">
        <v>162</v>
      </c>
      <c r="G24" s="13" t="s">
        <v>58</v>
      </c>
      <c r="H24" s="13" t="s">
        <v>163</v>
      </c>
      <c r="I24" s="14" t="n">
        <v>1</v>
      </c>
      <c r="J24" s="15" t="n">
        <v>0.08</v>
      </c>
      <c r="K24" s="15" t="n">
        <v>0.06</v>
      </c>
      <c r="L24" s="16" t="n">
        <f aca="false">I24*J24</f>
        <v>0.08</v>
      </c>
      <c r="M24" s="16" t="n">
        <f aca="false">I24*K24</f>
        <v>0.06</v>
      </c>
      <c r="N24" s="17" t="s">
        <v>164</v>
      </c>
    </row>
    <row r="25" customFormat="false" ht="36" hidden="false" customHeight="true" outlineLevel="0" collapsed="false">
      <c r="A25" s="30" t="s">
        <v>165</v>
      </c>
      <c r="B25" s="29" t="s">
        <v>144</v>
      </c>
      <c r="C25" s="6" t="s">
        <v>166</v>
      </c>
      <c r="D25" s="6" t="s">
        <v>167</v>
      </c>
      <c r="E25" s="6" t="s">
        <v>168</v>
      </c>
      <c r="F25" s="6" t="s">
        <v>169</v>
      </c>
      <c r="G25" s="6" t="s">
        <v>58</v>
      </c>
      <c r="H25" s="6" t="s">
        <v>170</v>
      </c>
      <c r="I25" s="7" t="n">
        <v>1</v>
      </c>
      <c r="J25" s="8" t="n">
        <v>0.8</v>
      </c>
      <c r="K25" s="8" t="n">
        <v>0.55</v>
      </c>
      <c r="L25" s="9" t="n">
        <f aca="false">I25*J25</f>
        <v>0.8</v>
      </c>
      <c r="M25" s="9" t="n">
        <f aca="false">I25*K25</f>
        <v>0.55</v>
      </c>
      <c r="N25" s="10" t="s">
        <v>171</v>
      </c>
    </row>
    <row r="26" customFormat="false" ht="36" hidden="false" customHeight="true" outlineLevel="0" collapsed="false">
      <c r="A26" s="31" t="s">
        <v>172</v>
      </c>
      <c r="B26" s="32" t="s">
        <v>173</v>
      </c>
      <c r="C26" s="13" t="s">
        <v>174</v>
      </c>
      <c r="D26" s="13" t="s">
        <v>175</v>
      </c>
      <c r="E26" s="13" t="s">
        <v>176</v>
      </c>
      <c r="F26" s="13" t="s">
        <v>177</v>
      </c>
      <c r="G26" s="13" t="s">
        <v>58</v>
      </c>
      <c r="H26" s="13" t="s">
        <v>178</v>
      </c>
      <c r="I26" s="14" t="n">
        <v>1</v>
      </c>
      <c r="J26" s="15" t="n">
        <v>0.12</v>
      </c>
      <c r="K26" s="15" t="n">
        <v>0.08</v>
      </c>
      <c r="L26" s="16" t="n">
        <f aca="false">I26*J26</f>
        <v>0.12</v>
      </c>
      <c r="M26" s="16" t="n">
        <f aca="false">I26*K26</f>
        <v>0.08</v>
      </c>
      <c r="N26" s="17" t="s">
        <v>179</v>
      </c>
    </row>
    <row r="27" customFormat="false" ht="36" hidden="false" customHeight="true" outlineLevel="0" collapsed="false">
      <c r="A27" s="33" t="s">
        <v>180</v>
      </c>
      <c r="B27" s="32" t="s">
        <v>173</v>
      </c>
      <c r="C27" s="6" t="s">
        <v>181</v>
      </c>
      <c r="D27" s="6" t="s">
        <v>182</v>
      </c>
      <c r="E27" s="6" t="s">
        <v>183</v>
      </c>
      <c r="F27" s="6" t="s">
        <v>184</v>
      </c>
      <c r="G27" s="6" t="s">
        <v>58</v>
      </c>
      <c r="H27" s="6" t="s">
        <v>185</v>
      </c>
      <c r="I27" s="7" t="n">
        <v>1</v>
      </c>
      <c r="J27" s="8" t="n">
        <v>0.06</v>
      </c>
      <c r="K27" s="8" t="n">
        <v>0.05</v>
      </c>
      <c r="L27" s="9" t="n">
        <f aca="false">I27*J27</f>
        <v>0.06</v>
      </c>
      <c r="M27" s="9" t="n">
        <f aca="false">I27*K27</f>
        <v>0.05</v>
      </c>
      <c r="N27" s="10" t="s">
        <v>186</v>
      </c>
    </row>
    <row r="28" customFormat="false" ht="36" hidden="false" customHeight="true" outlineLevel="0" collapsed="false">
      <c r="A28" s="31" t="s">
        <v>187</v>
      </c>
      <c r="B28" s="32" t="s">
        <v>173</v>
      </c>
      <c r="C28" s="13" t="s">
        <v>188</v>
      </c>
      <c r="D28" s="13" t="s">
        <v>189</v>
      </c>
      <c r="E28" s="13" t="s">
        <v>190</v>
      </c>
      <c r="F28" s="13" t="s">
        <v>191</v>
      </c>
      <c r="G28" s="13" t="s">
        <v>58</v>
      </c>
      <c r="H28" s="13" t="s">
        <v>192</v>
      </c>
      <c r="I28" s="14" t="n">
        <v>1</v>
      </c>
      <c r="J28" s="15" t="n">
        <v>0.18</v>
      </c>
      <c r="K28" s="15" t="n">
        <v>0.12</v>
      </c>
      <c r="L28" s="16" t="n">
        <f aca="false">I28*J28</f>
        <v>0.18</v>
      </c>
      <c r="M28" s="16" t="n">
        <f aca="false">I28*K28</f>
        <v>0.12</v>
      </c>
      <c r="N28" s="17" t="s">
        <v>193</v>
      </c>
    </row>
    <row r="29" customFormat="false" ht="36" hidden="false" customHeight="true" outlineLevel="0" collapsed="false">
      <c r="A29" s="34" t="s">
        <v>194</v>
      </c>
      <c r="B29" s="35" t="s">
        <v>195</v>
      </c>
      <c r="C29" s="6" t="s">
        <v>196</v>
      </c>
      <c r="D29" s="6" t="s">
        <v>197</v>
      </c>
      <c r="E29" s="6" t="s">
        <v>49</v>
      </c>
      <c r="F29" s="6" t="s">
        <v>49</v>
      </c>
      <c r="G29" s="6" t="s">
        <v>198</v>
      </c>
      <c r="H29" s="6" t="s">
        <v>199</v>
      </c>
      <c r="I29" s="7" t="n">
        <v>1</v>
      </c>
      <c r="J29" s="8" t="n">
        <v>1.8</v>
      </c>
      <c r="K29" s="8" t="n">
        <v>1.2</v>
      </c>
      <c r="L29" s="9" t="n">
        <f aca="false">I29*J29</f>
        <v>1.8</v>
      </c>
      <c r="M29" s="9" t="n">
        <f aca="false">I29*K29</f>
        <v>1.2</v>
      </c>
      <c r="N29" s="10" t="s">
        <v>200</v>
      </c>
    </row>
    <row r="30" customFormat="false" ht="36" hidden="false" customHeight="true" outlineLevel="0" collapsed="false">
      <c r="A30" s="36" t="s">
        <v>201</v>
      </c>
      <c r="B30" s="35" t="s">
        <v>195</v>
      </c>
      <c r="C30" s="13" t="s">
        <v>202</v>
      </c>
      <c r="D30" s="13" t="s">
        <v>203</v>
      </c>
      <c r="E30" s="13" t="s">
        <v>49</v>
      </c>
      <c r="F30" s="13" t="s">
        <v>49</v>
      </c>
      <c r="G30" s="13" t="s">
        <v>204</v>
      </c>
      <c r="H30" s="13" t="s">
        <v>205</v>
      </c>
      <c r="I30" s="14" t="n">
        <v>1</v>
      </c>
      <c r="J30" s="15" t="n">
        <v>3</v>
      </c>
      <c r="K30" s="15" t="n">
        <v>2</v>
      </c>
      <c r="L30" s="16" t="n">
        <f aca="false">I30*J30</f>
        <v>3</v>
      </c>
      <c r="M30" s="16" t="n">
        <f aca="false">I30*K30</f>
        <v>2</v>
      </c>
      <c r="N30" s="17" t="s">
        <v>206</v>
      </c>
    </row>
    <row r="31" customFormat="false" ht="36" hidden="false" customHeight="true" outlineLevel="0" collapsed="false">
      <c r="A31" s="34" t="s">
        <v>207</v>
      </c>
      <c r="B31" s="35" t="s">
        <v>195</v>
      </c>
      <c r="C31" s="6" t="s">
        <v>208</v>
      </c>
      <c r="D31" s="6" t="s">
        <v>209</v>
      </c>
      <c r="E31" s="6" t="s">
        <v>210</v>
      </c>
      <c r="F31" s="6" t="s">
        <v>211</v>
      </c>
      <c r="G31" s="6" t="s">
        <v>58</v>
      </c>
      <c r="H31" s="6" t="s">
        <v>212</v>
      </c>
      <c r="I31" s="7" t="n">
        <v>1</v>
      </c>
      <c r="J31" s="8" t="n">
        <v>0.2</v>
      </c>
      <c r="K31" s="8" t="n">
        <v>0.15</v>
      </c>
      <c r="L31" s="9" t="n">
        <f aca="false">I31*J31</f>
        <v>0.2</v>
      </c>
      <c r="M31" s="9" t="n">
        <f aca="false">I31*K31</f>
        <v>0.15</v>
      </c>
      <c r="N31" s="10" t="s">
        <v>213</v>
      </c>
    </row>
    <row r="32" customFormat="false" ht="36" hidden="false" customHeight="true" outlineLevel="0" collapsed="false">
      <c r="A32" s="36" t="s">
        <v>214</v>
      </c>
      <c r="B32" s="35" t="s">
        <v>195</v>
      </c>
      <c r="C32" s="13" t="s">
        <v>215</v>
      </c>
      <c r="D32" s="13" t="s">
        <v>49</v>
      </c>
      <c r="E32" s="13" t="s">
        <v>49</v>
      </c>
      <c r="F32" s="13" t="s">
        <v>49</v>
      </c>
      <c r="G32" s="13" t="s">
        <v>216</v>
      </c>
      <c r="H32" s="13" t="s">
        <v>217</v>
      </c>
      <c r="I32" s="14" t="n">
        <v>1</v>
      </c>
      <c r="J32" s="15" t="n">
        <v>0.15</v>
      </c>
      <c r="K32" s="15" t="n">
        <v>0.1</v>
      </c>
      <c r="L32" s="16" t="n">
        <f aca="false">I32*J32</f>
        <v>0.15</v>
      </c>
      <c r="M32" s="16" t="n">
        <f aca="false">I32*K32</f>
        <v>0.1</v>
      </c>
      <c r="N32" s="17" t="s">
        <v>218</v>
      </c>
    </row>
    <row r="33" customFormat="false" ht="36" hidden="false" customHeight="true" outlineLevel="0" collapsed="false">
      <c r="A33" s="37" t="s">
        <v>219</v>
      </c>
      <c r="B33" s="38" t="s">
        <v>220</v>
      </c>
      <c r="C33" s="6" t="s">
        <v>221</v>
      </c>
      <c r="D33" s="6" t="s">
        <v>222</v>
      </c>
      <c r="E33" s="6" t="s">
        <v>217</v>
      </c>
      <c r="F33" s="6" t="s">
        <v>217</v>
      </c>
      <c r="G33" s="6" t="s">
        <v>58</v>
      </c>
      <c r="H33" s="6" t="s">
        <v>223</v>
      </c>
      <c r="I33" s="7" t="n">
        <v>20</v>
      </c>
      <c r="J33" s="8" t="n">
        <v>0.01</v>
      </c>
      <c r="K33" s="8" t="n">
        <v>0.008</v>
      </c>
      <c r="L33" s="9" t="n">
        <f aca="false">I33*J33</f>
        <v>0.2</v>
      </c>
      <c r="M33" s="9" t="n">
        <f aca="false">I33*K33</f>
        <v>0.16</v>
      </c>
      <c r="N33" s="10" t="s">
        <v>224</v>
      </c>
    </row>
    <row r="34" customFormat="false" ht="36" hidden="false" customHeight="true" outlineLevel="0" collapsed="false">
      <c r="A34" s="39" t="s">
        <v>225</v>
      </c>
      <c r="B34" s="38" t="s">
        <v>220</v>
      </c>
      <c r="C34" s="13" t="s">
        <v>226</v>
      </c>
      <c r="D34" s="13" t="s">
        <v>227</v>
      </c>
      <c r="E34" s="13" t="s">
        <v>217</v>
      </c>
      <c r="F34" s="13" t="s">
        <v>217</v>
      </c>
      <c r="G34" s="13" t="s">
        <v>58</v>
      </c>
      <c r="H34" s="13" t="s">
        <v>228</v>
      </c>
      <c r="I34" s="14" t="n">
        <v>30</v>
      </c>
      <c r="J34" s="15" t="n">
        <v>0.01</v>
      </c>
      <c r="K34" s="15" t="n">
        <v>0.008</v>
      </c>
      <c r="L34" s="16" t="n">
        <f aca="false">I34*J34</f>
        <v>0.3</v>
      </c>
      <c r="M34" s="16" t="n">
        <f aca="false">I34*K34</f>
        <v>0.24</v>
      </c>
      <c r="N34" s="17" t="s">
        <v>229</v>
      </c>
    </row>
    <row r="35" customFormat="false" ht="36" hidden="false" customHeight="true" outlineLevel="0" collapsed="false">
      <c r="A35" s="37" t="s">
        <v>230</v>
      </c>
      <c r="B35" s="38" t="s">
        <v>220</v>
      </c>
      <c r="C35" s="6" t="s">
        <v>231</v>
      </c>
      <c r="D35" s="6" t="s">
        <v>55</v>
      </c>
      <c r="E35" s="6" t="s">
        <v>232</v>
      </c>
      <c r="F35" s="6" t="s">
        <v>57</v>
      </c>
      <c r="G35" s="6" t="s">
        <v>58</v>
      </c>
      <c r="H35" s="6" t="s">
        <v>59</v>
      </c>
      <c r="I35" s="7" t="n">
        <v>2</v>
      </c>
      <c r="J35" s="8" t="n">
        <v>0.12</v>
      </c>
      <c r="K35" s="8" t="n">
        <v>0.09</v>
      </c>
      <c r="L35" s="9" t="n">
        <f aca="false">I35*J35</f>
        <v>0.24</v>
      </c>
      <c r="M35" s="9" t="n">
        <f aca="false">I35*K35</f>
        <v>0.18</v>
      </c>
      <c r="N35" s="10" t="s">
        <v>233</v>
      </c>
    </row>
    <row r="36" customFormat="false" ht="36" hidden="false" customHeight="true" outlineLevel="0" collapsed="false">
      <c r="A36" s="39" t="s">
        <v>234</v>
      </c>
      <c r="B36" s="38" t="s">
        <v>220</v>
      </c>
      <c r="C36" s="13" t="s">
        <v>235</v>
      </c>
      <c r="D36" s="13" t="s">
        <v>49</v>
      </c>
      <c r="E36" s="13" t="s">
        <v>49</v>
      </c>
      <c r="F36" s="13" t="s">
        <v>49</v>
      </c>
      <c r="G36" s="13" t="s">
        <v>236</v>
      </c>
      <c r="H36" s="13" t="s">
        <v>49</v>
      </c>
      <c r="I36" s="14" t="n">
        <v>1</v>
      </c>
      <c r="J36" s="15" t="n">
        <v>1.2</v>
      </c>
      <c r="K36" s="15" t="n">
        <v>0.8</v>
      </c>
      <c r="L36" s="16" t="n">
        <f aca="false">I36*J36</f>
        <v>1.2</v>
      </c>
      <c r="M36" s="16" t="n">
        <f aca="false">I36*K36</f>
        <v>0.8</v>
      </c>
      <c r="N36" s="17" t="s">
        <v>237</v>
      </c>
    </row>
    <row r="37" customFormat="false" ht="24" hidden="false" customHeight="true" outlineLevel="0" collapsed="false">
      <c r="A37" s="40" t="s">
        <v>238</v>
      </c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1" t="n">
        <f aca="false">SUM(L5:L36)</f>
        <v>30.71</v>
      </c>
      <c r="M37" s="41" t="n">
        <f aca="false">SUM(M5:M36)</f>
        <v>23.49</v>
      </c>
    </row>
  </sheetData>
  <mergeCells count="3">
    <mergeCell ref="A1:N1"/>
    <mergeCell ref="A2:N2"/>
    <mergeCell ref="A37:K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18"/>
    <col collapsed="false" customWidth="true" hidden="false" outlineLevel="0" max="4" min="4" style="0" width="32"/>
  </cols>
  <sheetData>
    <row r="1" customFormat="false" ht="27.75" hidden="false" customHeight="true" outlineLevel="0" collapsed="false">
      <c r="A1" s="42" t="s">
        <v>239</v>
      </c>
      <c r="B1" s="42"/>
      <c r="C1" s="42"/>
      <c r="D1" s="42"/>
    </row>
    <row r="2" customFormat="false" ht="15.75" hidden="false" customHeight="true" outlineLevel="0" collapsed="false">
      <c r="A2" s="43" t="s">
        <v>240</v>
      </c>
      <c r="B2" s="43"/>
      <c r="C2" s="43"/>
      <c r="D2" s="43"/>
    </row>
    <row r="3" customFormat="false" ht="6" hidden="false" customHeight="true" outlineLevel="0" collapsed="false"/>
    <row r="4" customFormat="false" ht="27.75" hidden="false" customHeight="true" outlineLevel="0" collapsed="false">
      <c r="A4" s="44" t="s">
        <v>3</v>
      </c>
      <c r="B4" s="44" t="s">
        <v>241</v>
      </c>
      <c r="C4" s="44" t="s">
        <v>242</v>
      </c>
      <c r="D4" s="44" t="s">
        <v>243</v>
      </c>
    </row>
    <row r="5" customFormat="false" ht="21.75" hidden="false" customHeight="true" outlineLevel="0" collapsed="false">
      <c r="A5" s="45" t="s">
        <v>17</v>
      </c>
      <c r="B5" s="46" t="n">
        <f aca="false">SUMIF(BOM!B:B,A5,BOM!L:L)</f>
        <v>4.2</v>
      </c>
      <c r="C5" s="46" t="n">
        <f aca="false">SUMIF(BOM!B:B,A5,BOM!M:M)</f>
        <v>3.5</v>
      </c>
      <c r="D5" s="47" t="n">
        <f aca="false">IFERROR(C5/C14,0)</f>
        <v>0.148999574286931</v>
      </c>
    </row>
    <row r="6" customFormat="false" ht="21.75" hidden="false" customHeight="true" outlineLevel="0" collapsed="false">
      <c r="A6" s="48" t="s">
        <v>26</v>
      </c>
      <c r="B6" s="9" t="n">
        <f aca="false">SUMIF(BOM!B:B,A6,BOM!L:L)</f>
        <v>4.92</v>
      </c>
      <c r="C6" s="9" t="n">
        <f aca="false">SUMIF(BOM!B:B,A6,BOM!M:M)</f>
        <v>3.74</v>
      </c>
      <c r="D6" s="49" t="n">
        <f aca="false">IFERROR(C6/C14,0)</f>
        <v>0.15921668795232</v>
      </c>
    </row>
    <row r="7" customFormat="false" ht="21.75" hidden="false" customHeight="true" outlineLevel="0" collapsed="false">
      <c r="A7" s="50" t="s">
        <v>68</v>
      </c>
      <c r="B7" s="46" t="n">
        <f aca="false">SUMIF(BOM!B:B,A7,BOM!L:L)</f>
        <v>3.32</v>
      </c>
      <c r="C7" s="46" t="n">
        <f aca="false">SUMIF(BOM!B:B,A7,BOM!M:M)</f>
        <v>2.59</v>
      </c>
      <c r="D7" s="47" t="n">
        <f aca="false">IFERROR(C7/C14,0)</f>
        <v>0.110259684972329</v>
      </c>
    </row>
    <row r="8" customFormat="false" ht="21.75" hidden="false" customHeight="true" outlineLevel="0" collapsed="false">
      <c r="A8" s="51" t="s">
        <v>84</v>
      </c>
      <c r="B8" s="9" t="n">
        <f aca="false">SUMIF(BOM!B:B,A8,BOM!L:L)</f>
        <v>2.45</v>
      </c>
      <c r="C8" s="9" t="n">
        <f aca="false">SUMIF(BOM!B:B,A8,BOM!M:M)</f>
        <v>1.84</v>
      </c>
      <c r="D8" s="49" t="n">
        <f aca="false">IFERROR(C8/C14,0)</f>
        <v>0.0783312047679864</v>
      </c>
    </row>
    <row r="9" customFormat="false" ht="21.75" hidden="false" customHeight="true" outlineLevel="0" collapsed="false">
      <c r="A9" s="52" t="s">
        <v>100</v>
      </c>
      <c r="B9" s="46" t="n">
        <f aca="false">SUMIF(BOM!B:B,A9,BOM!L:L)</f>
        <v>6.89</v>
      </c>
      <c r="C9" s="46" t="n">
        <f aca="false">SUMIF(BOM!B:B,A9,BOM!M:M)</f>
        <v>5.67</v>
      </c>
      <c r="D9" s="47" t="n">
        <f aca="false">IFERROR(C9/C14,0)</f>
        <v>0.241379310344828</v>
      </c>
    </row>
    <row r="10" customFormat="false" ht="21.75" hidden="false" customHeight="true" outlineLevel="0" collapsed="false">
      <c r="A10" s="53" t="s">
        <v>144</v>
      </c>
      <c r="B10" s="9" t="n">
        <f aca="false">SUMIF(BOM!B:B,A10,BOM!L:L)</f>
        <v>1.48</v>
      </c>
      <c r="C10" s="9" t="n">
        <f aca="false">SUMIF(BOM!B:B,A10,BOM!M:M)</f>
        <v>1.07</v>
      </c>
      <c r="D10" s="49" t="n">
        <f aca="false">IFERROR(C10/C14,0)</f>
        <v>0.0455512984248617</v>
      </c>
    </row>
    <row r="11" customFormat="false" ht="21.75" hidden="false" customHeight="true" outlineLevel="0" collapsed="false">
      <c r="A11" s="54" t="s">
        <v>173</v>
      </c>
      <c r="B11" s="46" t="n">
        <f aca="false">SUMIF(BOM!B:B,A11,BOM!L:L)</f>
        <v>0.36</v>
      </c>
      <c r="C11" s="46" t="n">
        <f aca="false">SUMIF(BOM!B:B,A11,BOM!M:M)</f>
        <v>0.25</v>
      </c>
      <c r="D11" s="47" t="n">
        <f aca="false">IFERROR(C11/C14,0)</f>
        <v>0.0106428267347808</v>
      </c>
    </row>
    <row r="12" customFormat="false" ht="21.75" hidden="false" customHeight="true" outlineLevel="0" collapsed="false">
      <c r="A12" s="55" t="s">
        <v>195</v>
      </c>
      <c r="B12" s="9" t="n">
        <f aca="false">SUMIF(BOM!B:B,A12,BOM!L:L)</f>
        <v>5.15</v>
      </c>
      <c r="C12" s="9" t="n">
        <f aca="false">SUMIF(BOM!B:B,A12,BOM!M:M)</f>
        <v>3.45</v>
      </c>
      <c r="D12" s="49" t="n">
        <f aca="false">IFERROR(C12/C14,0)</f>
        <v>0.146871008939974</v>
      </c>
    </row>
    <row r="13" customFormat="false" ht="21.75" hidden="false" customHeight="true" outlineLevel="0" collapsed="false">
      <c r="A13" s="56" t="s">
        <v>220</v>
      </c>
      <c r="B13" s="46" t="n">
        <f aca="false">SUMIF(BOM!B:B,A13,BOM!L:L)</f>
        <v>1.94</v>
      </c>
      <c r="C13" s="46" t="n">
        <f aca="false">SUMIF(BOM!B:B,A13,BOM!M:M)</f>
        <v>1.38</v>
      </c>
      <c r="D13" s="47" t="n">
        <f aca="false">IFERROR(C13/C14,0)</f>
        <v>0.0587484035759898</v>
      </c>
    </row>
    <row r="14" customFormat="false" ht="25.5" hidden="false" customHeight="true" outlineLevel="0" collapsed="false">
      <c r="A14" s="57" t="s">
        <v>244</v>
      </c>
      <c r="B14" s="58" t="n">
        <f aca="false">SUM(B5:B13)</f>
        <v>30.71</v>
      </c>
      <c r="C14" s="58" t="n">
        <f aca="false">SUM(C5:C13)</f>
        <v>23.49</v>
      </c>
      <c r="D14" s="59" t="s">
        <v>245</v>
      </c>
    </row>
    <row r="16" customFormat="false" ht="21.75" hidden="false" customHeight="true" outlineLevel="0" collapsed="false">
      <c r="A16" s="60" t="s">
        <v>246</v>
      </c>
      <c r="B16" s="60"/>
      <c r="C16" s="60"/>
      <c r="D16" s="60"/>
    </row>
    <row r="17" customFormat="false" ht="19.5" hidden="false" customHeight="true" outlineLevel="0" collapsed="false">
      <c r="A17" s="13" t="s">
        <v>247</v>
      </c>
      <c r="B17" s="16" t="n">
        <f aca="false">B14</f>
        <v>30.71</v>
      </c>
      <c r="C17" s="16" t="n">
        <f aca="false">C14</f>
        <v>23.49</v>
      </c>
      <c r="D17" s="61"/>
    </row>
    <row r="18" customFormat="false" ht="19.5" hidden="false" customHeight="true" outlineLevel="0" collapsed="false">
      <c r="A18" s="6" t="s">
        <v>248</v>
      </c>
      <c r="B18" s="8" t="n">
        <v>5</v>
      </c>
      <c r="C18" s="8" t="n">
        <v>3.5</v>
      </c>
      <c r="D18" s="62"/>
    </row>
    <row r="19" customFormat="false" ht="19.5" hidden="false" customHeight="true" outlineLevel="0" collapsed="false">
      <c r="A19" s="13" t="s">
        <v>249</v>
      </c>
      <c r="B19" s="15" t="n">
        <v>1.5</v>
      </c>
      <c r="C19" s="15" t="n">
        <v>1</v>
      </c>
      <c r="D19" s="61"/>
    </row>
    <row r="20" customFormat="false" ht="19.5" hidden="false" customHeight="true" outlineLevel="0" collapsed="false">
      <c r="A20" s="6" t="s">
        <v>250</v>
      </c>
      <c r="B20" s="8" t="n">
        <v>1.2</v>
      </c>
      <c r="C20" s="8" t="n">
        <v>0.8</v>
      </c>
      <c r="D20" s="62"/>
    </row>
    <row r="21" customFormat="false" ht="19.5" hidden="false" customHeight="true" outlineLevel="0" collapsed="false">
      <c r="A21" s="13" t="s">
        <v>251</v>
      </c>
      <c r="B21" s="15" t="n">
        <v>0.25</v>
      </c>
      <c r="C21" s="15" t="n">
        <v>0.1</v>
      </c>
      <c r="D21" s="61"/>
    </row>
    <row r="22" customFormat="false" ht="19.5" hidden="false" customHeight="true" outlineLevel="0" collapsed="false">
      <c r="A22" s="6" t="s">
        <v>252</v>
      </c>
      <c r="B22" s="9" t="n">
        <f aca="false">B17*0.05</f>
        <v>1.5355</v>
      </c>
      <c r="C22" s="9" t="n">
        <f aca="false">C17*0.05</f>
        <v>1.1745</v>
      </c>
      <c r="D22" s="62"/>
    </row>
    <row r="23" customFormat="false" ht="25.5" hidden="false" customHeight="true" outlineLevel="0" collapsed="false">
      <c r="A23" s="63" t="s">
        <v>253</v>
      </c>
      <c r="B23" s="64" t="n">
        <f aca="false">SUM(B17:B22)</f>
        <v>40.1955</v>
      </c>
      <c r="C23" s="64" t="n">
        <f aca="false">SUM(C17:C22)</f>
        <v>30.0645</v>
      </c>
    </row>
    <row r="24" customFormat="false" ht="15.75" hidden="false" customHeight="true" outlineLevel="0" collapsed="false">
      <c r="A24" s="65" t="s">
        <v>254</v>
      </c>
      <c r="B24" s="65"/>
      <c r="C24" s="65"/>
      <c r="D24" s="65"/>
    </row>
  </sheetData>
  <mergeCells count="4">
    <mergeCell ref="A1:D1"/>
    <mergeCell ref="A2:D2"/>
    <mergeCell ref="A16:D16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0"/>
    <col collapsed="false" customWidth="true" hidden="false" outlineLevel="0" max="5" min="3" style="0" width="18"/>
    <col collapsed="false" customWidth="true" hidden="false" outlineLevel="0" max="6" min="6" style="0" width="30"/>
  </cols>
  <sheetData>
    <row r="1" customFormat="false" ht="27.75" hidden="false" customHeight="true" outlineLevel="0" collapsed="false">
      <c r="A1" s="42" t="s">
        <v>255</v>
      </c>
      <c r="B1" s="42"/>
      <c r="C1" s="42"/>
      <c r="D1" s="42"/>
      <c r="E1" s="42"/>
      <c r="F1" s="42"/>
    </row>
    <row r="2" customFormat="false" ht="21.75" hidden="false" customHeight="true" outlineLevel="0" collapsed="false">
      <c r="A2" s="44" t="s">
        <v>256</v>
      </c>
      <c r="B2" s="44" t="s">
        <v>257</v>
      </c>
      <c r="C2" s="44" t="s">
        <v>3</v>
      </c>
      <c r="D2" s="44" t="s">
        <v>258</v>
      </c>
      <c r="E2" s="44" t="s">
        <v>259</v>
      </c>
      <c r="F2" s="44" t="s">
        <v>15</v>
      </c>
    </row>
    <row r="3" customFormat="false" ht="21.75" hidden="false" customHeight="true" outlineLevel="0" collapsed="false">
      <c r="A3" s="13" t="s">
        <v>58</v>
      </c>
      <c r="B3" s="13" t="s">
        <v>260</v>
      </c>
      <c r="C3" s="13" t="s">
        <v>261</v>
      </c>
      <c r="D3" s="13" t="s">
        <v>262</v>
      </c>
      <c r="E3" s="13" t="s">
        <v>263</v>
      </c>
      <c r="F3" s="13" t="s">
        <v>264</v>
      </c>
    </row>
    <row r="4" customFormat="false" ht="21.75" hidden="false" customHeight="true" outlineLevel="0" collapsed="false">
      <c r="A4" s="6" t="s">
        <v>197</v>
      </c>
      <c r="B4" s="6" t="s">
        <v>265</v>
      </c>
      <c r="C4" s="6" t="s">
        <v>266</v>
      </c>
      <c r="D4" s="6" t="s">
        <v>267</v>
      </c>
      <c r="E4" s="6" t="s">
        <v>268</v>
      </c>
      <c r="F4" s="6" t="s">
        <v>269</v>
      </c>
    </row>
    <row r="5" customFormat="false" ht="21.75" hidden="false" customHeight="true" outlineLevel="0" collapsed="false">
      <c r="A5" s="13" t="s">
        <v>140</v>
      </c>
      <c r="B5" s="13" t="s">
        <v>270</v>
      </c>
      <c r="C5" s="13" t="s">
        <v>261</v>
      </c>
      <c r="D5" s="13" t="s">
        <v>262</v>
      </c>
      <c r="E5" s="13" t="s">
        <v>271</v>
      </c>
      <c r="F5" s="13" t="s">
        <v>272</v>
      </c>
    </row>
    <row r="6" customFormat="false" ht="21.75" hidden="false" customHeight="true" outlineLevel="0" collapsed="false">
      <c r="A6" s="6" t="s">
        <v>273</v>
      </c>
      <c r="B6" s="6" t="s">
        <v>274</v>
      </c>
      <c r="C6" s="6" t="s">
        <v>261</v>
      </c>
      <c r="D6" s="6" t="s">
        <v>262</v>
      </c>
      <c r="E6" s="6" t="s">
        <v>271</v>
      </c>
      <c r="F6" s="6" t="s">
        <v>275</v>
      </c>
    </row>
    <row r="7" customFormat="false" ht="21.75" hidden="false" customHeight="true" outlineLevel="0" collapsed="false">
      <c r="A7" s="13" t="s">
        <v>276</v>
      </c>
      <c r="B7" s="13" t="s">
        <v>277</v>
      </c>
      <c r="C7" s="13" t="s">
        <v>278</v>
      </c>
      <c r="D7" s="13" t="s">
        <v>262</v>
      </c>
      <c r="E7" s="13" t="s">
        <v>279</v>
      </c>
      <c r="F7" s="13" t="s">
        <v>280</v>
      </c>
    </row>
    <row r="8" customFormat="false" ht="21.75" hidden="false" customHeight="true" outlineLevel="0" collapsed="false">
      <c r="A8" s="6" t="s">
        <v>281</v>
      </c>
      <c r="B8" s="6" t="s">
        <v>282</v>
      </c>
      <c r="C8" s="6" t="s">
        <v>266</v>
      </c>
      <c r="D8" s="6" t="s">
        <v>267</v>
      </c>
      <c r="E8" s="6" t="s">
        <v>283</v>
      </c>
      <c r="F8" s="6" t="s">
        <v>284</v>
      </c>
    </row>
    <row r="9" customFormat="false" ht="21.75" hidden="false" customHeight="true" outlineLevel="0" collapsed="false">
      <c r="A9" s="13" t="s">
        <v>285</v>
      </c>
      <c r="B9" s="13" t="s">
        <v>286</v>
      </c>
      <c r="C9" s="13" t="s">
        <v>287</v>
      </c>
      <c r="D9" s="13" t="s">
        <v>288</v>
      </c>
      <c r="E9" s="13" t="s">
        <v>289</v>
      </c>
      <c r="F9" s="13" t="s">
        <v>290</v>
      </c>
    </row>
    <row r="10" customFormat="false" ht="21.75" hidden="false" customHeight="true" outlineLevel="0" collapsed="false">
      <c r="A10" s="6" t="s">
        <v>291</v>
      </c>
      <c r="B10" s="6" t="s">
        <v>292</v>
      </c>
      <c r="C10" s="6" t="s">
        <v>293</v>
      </c>
      <c r="D10" s="6" t="s">
        <v>294</v>
      </c>
      <c r="E10" s="6" t="s">
        <v>295</v>
      </c>
      <c r="F10" s="6" t="s">
        <v>296</v>
      </c>
    </row>
    <row r="11" customFormat="false" ht="21.75" hidden="false" customHeight="true" outlineLevel="0" collapsed="false">
      <c r="A11" s="13" t="s">
        <v>19</v>
      </c>
      <c r="B11" s="13" t="s">
        <v>297</v>
      </c>
      <c r="C11" s="13" t="s">
        <v>298</v>
      </c>
      <c r="D11" s="13" t="s">
        <v>288</v>
      </c>
      <c r="E11" s="13" t="s">
        <v>299</v>
      </c>
      <c r="F11" s="13" t="s">
        <v>300</v>
      </c>
    </row>
    <row r="12" customFormat="false" ht="21.75" hidden="false" customHeight="true" outlineLevel="0" collapsed="false">
      <c r="A12" s="6" t="s">
        <v>28</v>
      </c>
      <c r="B12" s="6" t="s">
        <v>301</v>
      </c>
      <c r="C12" s="6" t="s">
        <v>302</v>
      </c>
      <c r="D12" s="6" t="s">
        <v>303</v>
      </c>
      <c r="E12" s="6" t="s">
        <v>304</v>
      </c>
      <c r="F12" s="6" t="s">
        <v>305</v>
      </c>
    </row>
    <row r="13" customFormat="false" ht="21.75" hidden="false" customHeight="true" outlineLevel="0" collapsed="false">
      <c r="A13" s="13" t="s">
        <v>306</v>
      </c>
      <c r="B13" s="13" t="s">
        <v>307</v>
      </c>
      <c r="C13" s="13" t="s">
        <v>308</v>
      </c>
      <c r="D13" s="13" t="s">
        <v>262</v>
      </c>
      <c r="E13" s="13" t="s">
        <v>263</v>
      </c>
      <c r="F13" s="13" t="s">
        <v>309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2026-04-11T17:27:49Z</dcterms:created>
  <dc:creator>openpyxl</dc:creator>
  <dc:description/>
  <dc:language>en-US</dc:language>
  <cp:lastModifiedBy/>
  <dcterms:modified xsi:type="dcterms:W3CDTF">2026-04-11T17:27:49Z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